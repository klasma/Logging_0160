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1873-2020</t>
        </is>
      </c>
      <c r="B2" t="inlineStr">
        <is>
          <t>samrådsanmälan</t>
        </is>
      </c>
      <c r="C2" t="inlineStr">
        <is>
          <t>Åtgärd i nyckelbiotop</t>
        </is>
      </c>
      <c r="D2" s="1" t="n">
        <v>44063</v>
      </c>
      <c r="E2" s="1" t="n">
        <v>46311</v>
      </c>
      <c r="F2" t="inlineStr">
        <is>
          <t>STOCKHOLMS LÄN</t>
        </is>
      </c>
      <c r="G2" t="inlineStr">
        <is>
          <t>TÄBY</t>
        </is>
      </c>
      <c r="H2" t="inlineStr">
        <is>
          <t>Kommuner</t>
        </is>
      </c>
      <c r="I2" t="n">
        <v>35.3</v>
      </c>
      <c r="J2" t="n">
        <v>0</v>
      </c>
      <c r="K2" t="n">
        <v>4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4</v>
      </c>
      <c r="R2" t="n">
        <v>1</v>
      </c>
      <c r="S2" t="n">
        <v>8</v>
      </c>
      <c r="T2" t="n">
        <v>10</v>
      </c>
      <c r="U2" t="n">
        <v>4</v>
      </c>
      <c r="V2" s="2" t="inlineStr">
        <is>
          <t>Mindre bastardsvärmare
Reliktbock
Tallticka
Vedskivlav
Brandticka
Bronshjon
Grovticka
Mindre märgborre</t>
        </is>
      </c>
      <c r="W2">
        <f>HYPERLINK("https://klasma.github.io/Logging_0160/artfynd/S 1873-2020 artfynd.xlsx", "S 1873-2020")</f>
        <v/>
      </c>
      <c r="X2">
        <f>HYPERLINK("https://klasma.github.io/Logging_0160/kartor/S 1873-2020 karta.png", "S 1873-2020")</f>
        <v/>
      </c>
      <c r="Y2">
        <f>HYPERLINK("https://klasma.github.io/Logging_0160/kartor_geotiff/S 1873-2020 georefererad karta.tif", "S 1873-2020")</f>
        <v/>
      </c>
      <c r="AA2">
        <f>HYPERLINK("https://klasma.github.io/Logging_0160/klagomål/S 1873-2020 FSC-klagomål.docx", "S 1873-2020")</f>
        <v/>
      </c>
      <c r="AB2">
        <f>HYPERLINK("https://klasma.github.io/Logging_0160/klagomålsmail/S 1873-2020 FSC-klagomål mail.docx", "S 1873-2020")</f>
        <v/>
      </c>
      <c r="AC2">
        <f>HYPERLINK("https://klasma.github.io/Logging_0160/tillsyn/S 1873-2020 tillsynsbegäran.docx", "S 1873-2020")</f>
        <v/>
      </c>
      <c r="AD2">
        <f>HYPERLINK("https://klasma.github.io/Logging_0160/tillsynsmail/S 1873-2020 tillsynsbegäran mail.docx", "S 1873-2020")</f>
        <v/>
      </c>
    </row>
    <row r="3" ht="15" customHeight="1">
      <c r="A3" t="inlineStr">
        <is>
          <t>S 670-2023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44974</v>
      </c>
      <c r="E3" s="1" t="n">
        <v>46311</v>
      </c>
      <c r="F3" t="inlineStr">
        <is>
          <t>STOCKHOLMS LÄN</t>
        </is>
      </c>
      <c r="G3" t="inlineStr">
        <is>
          <t>TÄBY</t>
        </is>
      </c>
      <c r="H3" t="inlineStr">
        <is>
          <t>Kommuner</t>
        </is>
      </c>
      <c r="I3" t="n">
        <v>1.6</v>
      </c>
      <c r="J3" t="n">
        <v>4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4</v>
      </c>
      <c r="T3" t="n">
        <v>4</v>
      </c>
      <c r="U3" t="n">
        <v>4</v>
      </c>
      <c r="V3" s="2" t="inlineStr">
        <is>
          <t>Mindre hackspett
Strandskata
Gröngöling
Svartvit flugsnappare</t>
        </is>
      </c>
      <c r="W3">
        <f>HYPERLINK("https://klasma.github.io/Logging_0160/artfynd/S 670-2023 artfynd.xlsx", "S 670-2023")</f>
        <v/>
      </c>
      <c r="X3">
        <f>HYPERLINK("https://klasma.github.io/Logging_0160/kartor/S 670-2023 karta.png", "S 670-2023")</f>
        <v/>
      </c>
      <c r="Y3">
        <f>HYPERLINK("https://klasma.github.io/Logging_0160/kartor_geotiff/S 670-2023 georefererad karta.tif", "S 670-2023")</f>
        <v/>
      </c>
      <c r="AA3">
        <f>HYPERLINK("https://klasma.github.io/Logging_0160/klagomål/S 670-2023 FSC-klagomål.docx", "S 670-2023")</f>
        <v/>
      </c>
      <c r="AB3">
        <f>HYPERLINK("https://klasma.github.io/Logging_0160/klagomålsmail/S 670-2023 FSC-klagomål mail.docx", "S 670-2023")</f>
        <v/>
      </c>
      <c r="AC3">
        <f>HYPERLINK("https://klasma.github.io/Logging_0160/tillsyn/S 670-2023 tillsynsbegäran.docx", "S 670-2023")</f>
        <v/>
      </c>
      <c r="AD3">
        <f>HYPERLINK("https://klasma.github.io/Logging_0160/tillsynsmail/S 670-2023 tillsynsbegäran mail.docx", "S 670-2023")</f>
        <v/>
      </c>
      <c r="AE3">
        <f>HYPERLINK("https://klasma.github.io/Logging_0160/fåglar/S 670-2023 prioriterade fågelarter.docx", "S 670-2023")</f>
        <v/>
      </c>
    </row>
    <row r="4">
      <c r="A4" t="inlineStr">
        <is>
          <t>A 19464-2023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45050</v>
      </c>
      <c r="E4" s="1" t="n">
        <v>46311</v>
      </c>
      <c r="F4" t="inlineStr">
        <is>
          <t>STOCKHOLMS LÄN</t>
        </is>
      </c>
      <c r="G4" t="inlineStr">
        <is>
          <t>TÄBY</t>
        </is>
      </c>
      <c r="I4" t="n">
        <v>4.1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2026-10-16T02:19:06Z</dcterms:created>
  <dcterms:modified xmlns:dcterms="http://purl.org/dc/terms/" xmlns:xsi="http://www.w3.org/2001/XMLSchema-instance" xsi:type="dcterms:W3CDTF">2026-10-16T02:19:06Z</dcterms:modified>
</cp:coreProperties>
</file>